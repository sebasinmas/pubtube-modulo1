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⚙ Configuración" sheetId="1" state="visible" r:id="rId3"/>
    <sheet name="📋 Sprint Backlog-S1" sheetId="2" state="visible" r:id="rId4"/>
    <sheet name="📋 Sprint Backlog-S2" sheetId="3" state="visible" r:id="rId5"/>
    <sheet name="📉 Burndown S1" sheetId="4" state="visible" r:id="rId6"/>
    <sheet name="📉 Burndown S2" sheetId="5" state="visible" r:id="rId7"/>
    <sheet name="📊 Métricas" sheetId="6" state="visible" r:id="rId8"/>
    <sheet name="🔄 Retrospectiv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<sst xmlns="http://schemas.openxmlformats.org/spreadsheetml/2006/main" count="266" uniqueCount="172">
  <si>
    <t xml:space="preserve">🏃  Configuración del Sprint</t>
  </si>
  <si>
    <t xml:space="preserve">Completa estos datos antes de comenzar el sprint</t>
  </si>
  <si>
    <t xml:space="preserve">  📋  Datos del Sprint</t>
  </si>
  <si>
    <t xml:space="preserve">Nombre del proyecto</t>
  </si>
  <si>
    <t xml:space="preserve">PubTube</t>
  </si>
  <si>
    <t xml:space="preserve">Número de sprint</t>
  </si>
  <si>
    <t xml:space="preserve">Equipo / Módulo</t>
  </si>
  <si>
    <t xml:space="preserve">Equipo A — M1 Contenidos</t>
  </si>
  <si>
    <t xml:space="preserve">Fecha de inicio</t>
  </si>
  <si>
    <t xml:space="preserve">Fecha de cierre (Review)</t>
  </si>
  <si>
    <t xml:space="preserve">Duración (sesiones Lun/Jue)</t>
  </si>
  <si>
    <t xml:space="preserve">Story Points comprometidos (total)</t>
  </si>
  <si>
    <t xml:space="preserve">Velocidad sprint anterior</t>
  </si>
  <si>
    <t xml:space="preserve">Número de integrantes</t>
  </si>
  <si>
    <t xml:space="preserve">  🎯  Definition of Done (DoD)</t>
  </si>
  <si>
    <t xml:space="preserve">  ✔  Código revisado por al menos un par (Code Review)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</si>
  <si>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</si>
  <si>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</si>
  <si>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 xml:space="preserve">  ✔  Sin errores críticos en la integración con otros módulos</t>
  </si>
  <si>
    <t xml:space="preserve">  ✔  Desplegable con docker compose y demostrable en el Review</t>
  </si>
  <si>
    <t xml:space="preserve">  📌  Notas del Sprint</t>
  </si>
  <si>
    <t xml:space="preserve">Sprint 1: para este sprint nos dedicamos a terminar las tareas respectivas a la User Story A1: la cual se encargaba de la carga resumible de video.                                                                                                                      Sprint 2: Para este sprint se abarcarán las User storys 4 y 5, debido a que continuan o van de la mano de la User Story realizada en el sprint anterior</t>
  </si>
  <si>
    <t xml:space="preserve">📋  Sprint Backlog</t>
  </si>
  <si>
    <t xml:space="preserve">Agrega/edita las User Stories del sprint. 'SP Completados' y 'Estado' se actualizan durante el sprint.</t>
  </si>
  <si>
    <t xml:space="preserve">ID</t>
  </si>
  <si>
    <t xml:space="preserve">User Story / Tarea</t>
  </si>
  <si>
    <t xml:space="preserve">Responsable</t>
  </si>
  <si>
    <t xml:space="preserve">SP Estimados</t>
  </si>
  <si>
    <t xml:space="preserve">SP Completados</t>
  </si>
  <si>
    <t xml:space="preserve">Estado</t>
  </si>
  <si>
    <t xml:space="preserve">Prioridad</t>
  </si>
  <si>
    <t xml:space="preserve">US-A1</t>
  </si>
  <si>
    <t xml:space="preserve">Modelado Drizzle y Entidad Video</t>
  </si>
  <si>
    <t xml:space="preserve">Alessandro Duarte</t>
  </si>
  <si>
    <t xml:space="preserve">⏳ To Do</t>
  </si>
  <si>
    <t xml:space="preserve">Alta</t>
  </si>
  <si>
    <t xml:space="preserve">Transición de Estado: Borrador → Listo</t>
  </si>
  <si>
    <t xml:space="preserve">Bastián Wenkhans</t>
  </si>
  <si>
    <t xml:space="preserve">Transición de Estado: Listo → Programado</t>
  </si>
  <si>
    <t xml:space="preserve">Alessandro Duarte
Lorenzo Duarte</t>
  </si>
  <si>
    <t xml:space="preserve">Worker de Transición: Programado → Publicado </t>
  </si>
  <si>
    <t xml:space="preserve">Media</t>
  </si>
  <si>
    <t xml:space="preserve">Ensamblaje y Finalización de la Subida </t>
  </si>
  <si>
    <t xml:space="preserve">Bastián Wenckhans
Lorenzo Duarte</t>
  </si>
  <si>
    <t xml:space="preserve">Inicialización de Subida y Validación </t>
  </si>
  <si>
    <t xml:space="preserve">Endpoint de Consulta de Progreso / Reanudación</t>
  </si>
  <si>
    <t xml:space="preserve">Generación de URLs Prefirmadas para Chunks</t>
  </si>
  <si>
    <t xml:space="preserve">TECH-01</t>
  </si>
  <si>
    <t xml:space="preserve">Repo Git: ROLES.md, README, .env.example, CI base</t>
  </si>
  <si>
    <t xml:space="preserve">Todos</t>
  </si>
  <si>
    <t xml:space="preserve">TECH-A2</t>
  </si>
  <si>
    <t xml:space="preserve">Integración object storage MinIO (bucket + SDK S3)</t>
  </si>
  <si>
    <t xml:space="preserve">TOTAL SP DEL SPRINT</t>
  </si>
  <si>
    <t xml:space="preserve">US-A5</t>
  </si>
  <si>
    <t xml:space="preserve">Implementar Algoritmo de Cálculo de Checksum durante el Upload (3 SP)</t>
  </si>
  <si>
    <t xml:space="preserve">Sebastiàn Bustos</t>
  </si>
  <si>
    <t xml:space="preserve">Sprint Backlog</t>
  </si>
  <si>
    <t xml:space="preserve">Script e índice único para Checksum (2 SP)</t>
  </si>
  <si>
    <t xml:space="preserve">Lorenzo López</t>
  </si>
  <si>
    <t xml:space="preserve">US-A4</t>
  </si>
  <si>
    <t xml:space="preserve">Tarea Programada para Publicación en YouTube (programado → publicado) 2 SP</t>
  </si>
  <si>
    <t xml:space="preserve">Manejo de Respuesta 409 en el Modulo de Carga (1 SP)</t>
  </si>
  <si>
    <t xml:space="preserve">Control de Checksum Duplicados y Respuesta HTTP 409 (2 SP)</t>
  </si>
  <si>
    <t xml:space="preserve">US-A2</t>
  </si>
  <si>
    <t xml:space="preserve"> Implementación de Base de Datos y Validaciones DTO (1 SP)</t>
  </si>
  <si>
    <t xml:space="preserve">Desarrollo de Endpoints API y Emisión de eventos (1 SP)</t>
  </si>
  <si>
    <t xml:space="preserve">Pruebas de integración E2E (1 SP)</t>
  </si>
  <si>
    <t xml:space="preserve">📉  Burndown Chart — Seguimiento por Sesión (Lun/Jue)</t>
  </si>
  <si>
    <t xml:space="preserve">Actualiza 'SP Completados Hoy' al final de cada Daily (lunes y jueves).</t>
  </si>
  <si>
    <t xml:space="preserve">Sesión</t>
  </si>
  <si>
    <t xml:space="preserve">Fecha</t>
  </si>
  <si>
    <t xml:space="preserve">SP Restantes (Ideal)</t>
  </si>
  <si>
    <t xml:space="preserve">SP Completados Hoy</t>
  </si>
  <si>
    <t xml:space="preserve">SP Acumulados</t>
  </si>
  <si>
    <t xml:space="preserve">SP Restantes (Real)</t>
  </si>
  <si>
    <t xml:space="preserve">31/08/26</t>
  </si>
  <si>
    <t xml:space="preserve">03/09/26</t>
  </si>
  <si>
    <t xml:space="preserve">07/09/26</t>
  </si>
  <si>
    <t xml:space="preserve">10/09/26</t>
  </si>
  <si>
    <t xml:space="preserve">14/09/26</t>
  </si>
  <si>
    <t xml:space="preserve">17/09/26</t>
  </si>
  <si>
    <t xml:space="preserve">21/09/26</t>
  </si>
  <si>
    <t xml:space="preserve">📊  Métricas del Sprint</t>
  </si>
  <si>
    <t xml:space="preserve">Estas métricas se calculan automáticamente desde el Backlog y la Configuración</t>
  </si>
  <si>
    <t xml:space="preserve">          Sprint 2</t>
  </si>
  <si>
    <t xml:space="preserve">  🎯  Progreso del Sprint</t>
  </si>
  <si>
    <t xml:space="preserve">SP comprometidos</t>
  </si>
  <si>
    <t xml:space="preserve">Total de SP del Sprint Backlog</t>
  </si>
  <si>
    <t xml:space="preserve">SP completados</t>
  </si>
  <si>
    <t xml:space="preserve">SP en estado Done hasta hoy</t>
  </si>
  <si>
    <t xml:space="preserve">SP restantes</t>
  </si>
  <si>
    <t xml:space="preserve">SP que aún deben completarse</t>
  </si>
  <si>
    <t xml:space="preserve">% completado</t>
  </si>
  <si>
    <t xml:space="preserve">Avance real del sprint</t>
  </si>
  <si>
    <t xml:space="preserve">Historias Done</t>
  </si>
  <si>
    <t xml:space="preserve">Historias completadas</t>
  </si>
  <si>
    <t xml:space="preserve">Historias en progreso</t>
  </si>
  <si>
    <t xml:space="preserve">En desarrollo activo</t>
  </si>
  <si>
    <t xml:space="preserve">  ⚡  Velocidad y Predicción</t>
  </si>
  <si>
    <t xml:space="preserve">Velocidad sprint actual (real)</t>
  </si>
  <si>
    <t xml:space="preserve">SP completados en este sprint</t>
  </si>
  <si>
    <t xml:space="preserve">SP completados en sprint previo</t>
  </si>
  <si>
    <t xml:space="preserve">Variación de velocidad</t>
  </si>
  <si>
    <t xml:space="preserve">Positivo = mejora respecto al anterior</t>
  </si>
  <si>
    <t xml:space="preserve">SP/persona/sprint</t>
  </si>
  <si>
    <t xml:space="preserve">Productividad promedio del equipo</t>
  </si>
  <si>
    <t xml:space="preserve">SP/persona/sesión</t>
  </si>
  <si>
    <t xml:space="preserve">Ritmo por sesión del equipo</t>
  </si>
  <si>
    <t xml:space="preserve">  🏥  Salud del Sprint</t>
  </si>
  <si>
    <t xml:space="preserve">Sesiones transcurridas</t>
  </si>
  <si>
    <t xml:space="preserve">Actualizar manualmente cada sesión</t>
  </si>
  <si>
    <t xml:space="preserve">Sesiones restantes</t>
  </si>
  <si>
    <t xml:space="preserve">Sesiones hasta el Sprint Review</t>
  </si>
  <si>
    <t xml:space="preserve">SP/sesión requerido</t>
  </si>
  <si>
    <t xml:space="preserve">Ritmo necesario para completar el sprint</t>
  </si>
  <si>
    <t xml:space="preserve">SP/sesión logrado</t>
  </si>
  <si>
    <t xml:space="preserve">Ritmo real del equipo</t>
  </si>
  <si>
    <t xml:space="preserve">Índice de rendimiento (SPI)</t>
  </si>
  <si>
    <t xml:space="preserve">SPI &gt;1 = adelantado  |  SPI &lt;1 = atrasado</t>
  </si>
  <si>
    <t xml:space="preserve">  Interpretación del SPI (Schedule Performance Index):</t>
  </si>
  <si>
    <t xml:space="preserve">SPI &gt; 1.1</t>
  </si>
  <si>
    <t xml:space="preserve">Equipo adelantado — considerar asumir trabajo extra (backlog stretch)</t>
  </si>
  <si>
    <t xml:space="preserve">SPI 0.9 – 1.1</t>
  </si>
  <si>
    <t xml:space="preserve">Equipo dentro del ritmo esperado ✓</t>
  </si>
  <si>
    <t xml:space="preserve">SPI 0.7 – 0.9</t>
  </si>
  <si>
    <t xml:space="preserve">Leve atraso — revisar impedimentos en la Daily</t>
  </si>
  <si>
    <t xml:space="preserve">SPI &lt; 0.7</t>
  </si>
  <si>
    <t xml:space="preserve">Atraso crítico — replanificar el sprint con el PO</t>
  </si>
  <si>
    <t xml:space="preserve">🔄  Retrospectiva del Sprint</t>
  </si>
  <si>
    <t xml:space="preserve">Completa al finalizar el Sprint Review (formato Keep / Drop / Try)</t>
  </si>
  <si>
    <t xml:space="preserve">✅  KEEP — Lo que funcionó bien</t>
  </si>
  <si>
    <t xml:space="preserve">  •  Sprint 1: Buena comunicación en el equipo, además de una buena distribución de tareas, equitativas entre los integrantes del equipo.</t>
  </si>
  <si>
    <t xml:space="preserve">  •  Sprint 2: Buena distribución de tareas, ademàs de una buena adaptación debido a que estabamos en deuda del sprint pasado</t>
  </si>
  <si>
    <t xml:space="preserve">  •  ...</t>
  </si>
  <si>
    <t xml:space="preserve">❌  DROP — Lo que hay que dejar de hacer</t>
  </si>
  <si>
    <t xml:space="preserve">  •  Sprint 1: Mala estructura de carpetas, programar aantes de pensar un test de integración</t>
  </si>
  <si>
    <t xml:space="preserve">  •  Sprint 2: Trabajo muy modular, poca comunicación con el resto de módulos, sobre todo en lo que al frontend respecta.</t>
  </si>
  <si>
    <t xml:space="preserve">🚀  TRY — Lo que queremos intentar</t>
  </si>
  <si>
    <t xml:space="preserve">  •  Sprint 1: TDD bien formulado, que abarque la totalidad de casos del sprint</t>
  </si>
  <si>
    <t xml:space="preserve">  •  Sprint 2: realizar màs reuniones con el resto de Scrum master y PO, para poder aborbar de mejor manera el siguiente Sprint.</t>
  </si>
  <si>
    <t xml:space="preserve">📌  Acciones Concretas para el Próximo Sprint</t>
  </si>
  <si>
    <t xml:space="preserve">Acción</t>
  </si>
  <si>
    <t xml:space="preserve">Fecha límite</t>
  </si>
  <si>
    <t xml:space="preserve">SP1: Modelado Drizzle y Entidad Video (1 SP)</t>
  </si>
  <si>
    <t xml:space="preserve">AD</t>
  </si>
  <si>
    <t xml:space="preserve">03/09</t>
  </si>
  <si>
    <t xml:space="preserve">SP1: Transición de Estado: Borrador → Listo (1 SP)</t>
  </si>
  <si>
    <t xml:space="preserve">BW</t>
  </si>
  <si>
    <t xml:space="preserve">SP1: Transición de Estado: Listo → Programado (1 SP)</t>
  </si>
  <si>
    <t xml:space="preserve">AD-LL</t>
  </si>
  <si>
    <t xml:space="preserve">06/09</t>
  </si>
  <si>
    <t xml:space="preserve">SP1: Worker de Transición: Programado → Publicado (2 SP)</t>
  </si>
  <si>
    <t xml:space="preserve">SP1: Ensamblaje y Finalización de la Subida (2 SP)</t>
  </si>
  <si>
    <t xml:space="preserve">LL-BW</t>
  </si>
  <si>
    <t xml:space="preserve">10/09</t>
  </si>
  <si>
    <t xml:space="preserve">SP1: Inicialización de Subida y Validación (2 SP)</t>
  </si>
  <si>
    <t xml:space="preserve">SP1: Endpoint de Consulta de Progreso / Reanudación (2 SP)</t>
  </si>
  <si>
    <t xml:space="preserve">14/09</t>
  </si>
  <si>
    <t xml:space="preserve">SP1: Generación de URLs Prefirmadas para Chunks (2 SP)</t>
  </si>
  <si>
    <t xml:space="preserve">LL-AD</t>
  </si>
  <si>
    <t xml:space="preserve">SP2: US-A4 Tarea Programada para Publicación en YouTube (programado → publicado) </t>
  </si>
  <si>
    <t xml:space="preserve">20/09</t>
  </si>
  <si>
    <t xml:space="preserve">SP2: Implementación de Base de Datos y Validaciones DTO</t>
  </si>
  <si>
    <t xml:space="preserve">25/09</t>
  </si>
  <si>
    <t xml:space="preserve">SP2: Implementar Algoritmo de Cálculo de Checksum durante el Upload </t>
  </si>
  <si>
    <t xml:space="preserve">SB</t>
  </si>
  <si>
    <t xml:space="preserve">29/09</t>
  </si>
  <si>
    <t xml:space="preserve">SP2: Desarrollo de Endpoints API y Emisión de eventos</t>
  </si>
  <si>
    <t xml:space="preserve">LL</t>
  </si>
  <si>
    <t xml:space="preserve">02/10</t>
  </si>
  <si>
    <t xml:space="preserve">SP2: Pruebas de integración E2E</t>
  </si>
  <si>
    <t xml:space="preserve">05/10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</si>
</sst>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General"/>
    <numFmt numFmtId="167" formatCode="0\ %"/>
    <numFmt numFmtId="168" formatCode="0.0"/>
    <numFmt numFmtId="169" formatCode="#,##0"/>
    <numFmt numFmtId="170" formatCode="0.0%"/>
    <numFmt numFmtId="171" formatCode="\+#,##0;\-#,##0;0"/>
    <numFmt numFmtId="172" formatCode="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A2E4A"/>
      <name val="Calibri"/>
      <family val="0"/>
      <charset val="1"/>
    </font>
    <font>
      <b val="true"/>
      <sz val="11"/>
      <color rgb="FF1D5FA8"/>
      <name val="Calibri"/>
      <family val="0"/>
      <charset val="1"/>
    </font>
    <font>
      <sz val="10"/>
      <color rgb="FF1E7E34"/>
      <name val="Calibri"/>
      <family val="0"/>
      <charset val="1"/>
    </font>
    <font>
      <b val="true"/>
      <sz val="10"/>
      <color rgb="FF1A2E4A"/>
      <name val="Calibri"/>
      <family val="0"/>
      <charset val="1"/>
    </font>
    <font>
      <sz val="10"/>
      <color rgb="FF1A2E4A"/>
      <name val="Calibri"/>
      <family val="0"/>
      <charset val="1"/>
    </font>
    <font>
      <b val="true"/>
      <sz val="11"/>
      <color rgb="FF0D8A8A"/>
      <name val="Calibri"/>
      <family val="0"/>
      <charset val="1"/>
    </font>
    <font>
      <b val="true"/>
      <sz val="10"/>
      <color rgb="FFB5232A"/>
      <name val="Calibri"/>
      <family val="0"/>
      <charset val="1"/>
    </font>
    <font>
      <b val="true"/>
      <sz val="10"/>
      <color rgb="FFD4860B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A2E4A"/>
      <name val="Calibri"/>
      <family val="0"/>
      <charset val="1"/>
    </font>
    <font>
      <sz val="11"/>
      <color rgb="FF1E7E34"/>
      <name val="Calibri"/>
      <family val="0"/>
      <charset val="1"/>
    </font>
    <font>
      <b val="true"/>
      <sz val="11"/>
      <color rgb="FFB523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A2E4A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12"/>
      <color rgb="FF1A2E4A"/>
      <name val="Calibri"/>
      <family val="0"/>
    </font>
    <font>
      <b val="true"/>
      <sz val="10"/>
      <color rgb="FF1E7E34"/>
      <name val="Calibri"/>
      <family val="0"/>
      <charset val="1"/>
    </font>
    <font>
      <b val="true"/>
      <sz val="10"/>
      <color rgb="FF1D5FA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64748B"/>
      <name val="Calibri"/>
      <family val="0"/>
      <charset val="1"/>
    </font>
    <font>
      <sz val="11"/>
      <color rgb="FFD4860B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5F7FA"/>
        <bgColor rgb="FFFFFFFF"/>
      </patternFill>
    </fill>
    <fill>
      <patternFill patternType="solid">
        <fgColor rgb="FF1D5FA8"/>
        <bgColor rgb="FF3366FF"/>
      </patternFill>
    </fill>
    <fill>
      <patternFill patternType="solid">
        <fgColor rgb="FFFFFFFF"/>
        <bgColor rgb="FFF5F7FA"/>
      </patternFill>
    </fill>
    <fill>
      <patternFill patternType="solid">
        <fgColor rgb="FFE8F5EC"/>
        <bgColor rgb="FFE0F4F4"/>
      </patternFill>
    </fill>
    <fill>
      <patternFill patternType="solid">
        <fgColor rgb="FF0D8A8A"/>
        <bgColor rgb="FF008080"/>
      </patternFill>
    </fill>
    <fill>
      <patternFill patternType="solid">
        <fgColor rgb="FFE0F4F4"/>
        <bgColor rgb="FFE8F5EC"/>
      </patternFill>
    </fill>
    <fill>
      <patternFill patternType="solid">
        <fgColor rgb="FFD4860B"/>
        <bgColor rgb="FFFF6600"/>
      </patternFill>
    </fill>
    <fill>
      <patternFill patternType="solid">
        <fgColor rgb="FFB5232A"/>
        <bgColor rgb="FF993366"/>
      </patternFill>
    </fill>
    <fill>
      <patternFill patternType="solid">
        <fgColor rgb="FFE8F0FA"/>
        <bgColor rgb="FFE0F4F4"/>
      </patternFill>
    </fill>
    <fill>
      <patternFill patternType="solid">
        <fgColor rgb="FFFAEAEA"/>
        <bgColor rgb="FFFDF3E0"/>
      </patternFill>
    </fill>
    <fill>
      <patternFill patternType="solid">
        <fgColor rgb="FFFDF3E0"/>
        <bgColor rgb="FFFAEAEA"/>
      </patternFill>
    </fill>
    <fill>
      <patternFill patternType="solid">
        <fgColor rgb="FF1E7E34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3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11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1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1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D8A8A"/>
      <rgbColor rgb="FFD9D9D9"/>
      <rgbColor rgb="FF878787"/>
      <rgbColor rgb="FF9999FF"/>
      <rgbColor rgb="FF993366"/>
      <rgbColor rgb="FFFDF3E0"/>
      <rgbColor rgb="FFE0F4F4"/>
      <rgbColor rgb="FF660066"/>
      <rgbColor rgb="FFFF8080"/>
      <rgbColor rgb="FF1D5FA8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C"/>
      <rgbColor rgb="FFE8F0FA"/>
      <rgbColor rgb="FFFAEAEA"/>
      <rgbColor rgb="FF99CCFF"/>
      <rgbColor rgb="FFFF99CC"/>
      <rgbColor rgb="FFCC99FF"/>
      <rgbColor rgb="FFF5F7FA"/>
      <rgbColor rgb="FF3366FF"/>
      <rgbColor rgb="FF33CCCC"/>
      <rgbColor rgb="FF99CC00"/>
      <rgbColor rgb="FFFFCC00"/>
      <rgbColor rgb="FFD4860B"/>
      <rgbColor rgb="FFFF6600"/>
      <rgbColor rgb="FF64748B"/>
      <rgbColor rgb="FF969696"/>
      <rgbColor rgb="FF003366"/>
      <rgbColor rgb="FF339966"/>
      <rgbColor rgb="FF003300"/>
      <rgbColor rgb="FF333300"/>
      <rgbColor rgb="FFB5232A"/>
      <rgbColor rgb="FF993366"/>
      <rgbColor rgb="FF333399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'📉 Burndown S1'!$D$3:$D$3</c:f>
              <c:strCache>
                <c:ptCount val="1"/>
                <c:pt idx="0">
                  <c:v>SP Restantes (Ideal)</c:v>
                </c:pt>
              </c:strCache>
            </c:strRef>
          </c:tx>
          <c:spPr>
            <a:solidFill>
              <a:srgbClr val="64748b"/>
            </a:solidFill>
            <a:ln w="28440">
              <a:solidFill>
                <a:srgbClr val="64748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Burndown S1'!$B$4:$B$9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'📉 Burndown S1'!$D$4:$D$9</c:f>
              <c:numCache>
                <c:formatCode>0.0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10.8</c:v>
                </c:pt>
                <c:pt idx="3">
                  <c:v>7.2</c:v>
                </c:pt>
                <c:pt idx="4">
                  <c:v>3.6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'📉 Burndown S1'!$G$3:$G$3</c:f>
              <c:strCache>
                <c:ptCount val="1"/>
                <c:pt idx="0">
                  <c:v>SP Restantes (Real)</c:v>
                </c:pt>
              </c:strCache>
            </c:strRef>
          </c:tx>
          <c:spPr>
            <a:solidFill>
              <a:srgbClr val="b5232a"/>
            </a:solidFill>
            <a:ln w="28080">
              <a:solidFill>
                <a:srgbClr val="b523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Burndown S1'!$B$4:$B$9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'📉 Burndown S1'!$G$4:$G$9</c:f>
              <c:numCache>
                <c:formatCode>General</c:formatCode>
                <c:ptCount val="6"/>
                <c:pt idx="0">
                  <c:v>14</c:v>
                </c:pt>
                <c:pt idx="1">
                  <c:v>10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592567"/>
        <c:axId val="95624299"/>
      </c:lineChart>
      <c:catAx>
        <c:axId val="645925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24299"/>
        <c:crosses val="autoZero"/>
        <c:auto val="1"/>
        <c:lblAlgn val="ctr"/>
        <c:lblOffset val="100"/>
        <c:noMultiLvlLbl val="0"/>
      </c:catAx>
      <c:valAx>
        <c:axId val="95624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925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Burndown Chart — SP Restantes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'📉 Burndown S2'!$D$3</c:f>
              <c:strCache>
                <c:ptCount val="1"/>
                <c:pt idx="0">
                  <c:v>SP Restantes (Ideal)</c:v>
                </c:pt>
              </c:strCache>
            </c:strRef>
          </c:tx>
          <c:spPr>
            <a:solidFill>
              <a:srgbClr val="64748b"/>
            </a:solidFill>
            <a:ln w="28440">
              <a:solidFill>
                <a:srgbClr val="64748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Burndown S2'!$B$4:$B$9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'📉 Burndown S2'!$D$4:$D$9</c:f>
              <c:numCache>
                <c:formatCode>0.0</c:formatCode>
                <c:ptCount val="6"/>
                <c:pt idx="0">
                  <c:v>13</c:v>
                </c:pt>
                <c:pt idx="1">
                  <c:v>14.4</c:v>
                </c:pt>
                <c:pt idx="2">
                  <c:v>10.8</c:v>
                </c:pt>
                <c:pt idx="3">
                  <c:v>7.2</c:v>
                </c:pt>
                <c:pt idx="4">
                  <c:v>3.6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'📉 Burndown S2'!$G$3</c:f>
              <c:strCache>
                <c:ptCount val="1"/>
                <c:pt idx="0">
                  <c:v>SP Restantes (Real)</c:v>
                </c:pt>
              </c:strCache>
            </c:strRef>
          </c:tx>
          <c:spPr>
            <a:solidFill>
              <a:srgbClr val="b5232a"/>
            </a:solidFill>
            <a:ln w="28080">
              <a:solidFill>
                <a:srgbClr val="b523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Burndown S2'!$B$4:$B$9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'📉 Burndown S2'!$G$4:$G$9</c:f>
              <c:numCache>
                <c:formatCode>General</c:formatCode>
                <c:ptCount val="6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429118"/>
        <c:axId val="11406968"/>
      </c:lineChart>
      <c:catAx>
        <c:axId val="24429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06968"/>
        <c:crosses val="autoZero"/>
        <c:auto val="1"/>
        <c:lblAlgn val="ctr"/>
        <c:lblOffset val="100"/>
        <c:noMultiLvlLbl val="0"/>
      </c:catAx>
      <c:valAx>
        <c:axId val="11406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29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147600</xdr:rowOff>
    </xdr:from>
    <xdr:to>
      <xdr:col>7</xdr:col>
      <xdr:colOff>56160</xdr:colOff>
      <xdr:row>26</xdr:row>
      <xdr:rowOff>157320</xdr:rowOff>
    </xdr:to>
    <xdr:graphicFrame>
      <xdr:nvGraphicFramePr>
        <xdr:cNvPr id="0" name="Chart 1"/>
        <xdr:cNvGraphicFramePr/>
      </xdr:nvGraphicFramePr>
      <xdr:xfrm>
        <a:off x="240120" y="2817000"/>
        <a:ext cx="6936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147600</xdr:rowOff>
    </xdr:from>
    <xdr:to>
      <xdr:col>7</xdr:col>
      <xdr:colOff>56160</xdr:colOff>
      <xdr:row>26</xdr:row>
      <xdr:rowOff>157320</xdr:rowOff>
    </xdr:to>
    <xdr:graphicFrame>
      <xdr:nvGraphicFramePr>
        <xdr:cNvPr id="1" name="Chart 1"/>
        <xdr:cNvGraphicFramePr/>
      </xdr:nvGraphicFramePr>
      <xdr:xfrm>
        <a:off x="240120" y="2817000"/>
        <a:ext cx="6936840" cy="305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2" activeCellId="0" sqref="D1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3.86"/>
    <col collapsed="false" customWidth="true" hidden="false" outlineLevel="0" max="3" min="3" style="1" width="22"/>
    <col collapsed="false" customWidth="true" hidden="false" outlineLevel="0" max="4" min="4" style="1" width="28.57"/>
    <col collapsed="false" customWidth="true" hidden="false" outlineLevel="0" max="5" min="5" style="1" width="3"/>
  </cols>
  <sheetData>
    <row r="1" customFormat="false" ht="19.7" hidden="false" customHeight="false" outlineLevel="0" collapsed="false">
      <c r="B1" s="2" t="s">
        <v>0</v>
      </c>
      <c r="C1" s="2"/>
      <c r="D1" s="2"/>
    </row>
    <row r="2" customFormat="false" ht="15" hidden="false" customHeight="false" outlineLevel="0" collapsed="false">
      <c r="B2" s="3" t="s">
        <v>1</v>
      </c>
      <c r="C2" s="3"/>
      <c r="D2" s="3"/>
    </row>
    <row r="3" customFormat="false" ht="15" hidden="false" customHeight="false" outlineLevel="0" collapsed="false">
      <c r="B3" s="4" t="s">
        <v>2</v>
      </c>
      <c r="C3" s="4"/>
      <c r="D3" s="4"/>
    </row>
    <row r="4" customFormat="false" ht="19.5" hidden="false" customHeight="true" outlineLevel="0" collapsed="false">
      <c r="B4" s="5" t="s">
        <v>3</v>
      </c>
      <c r="C4" s="6" t="s">
        <v>4</v>
      </c>
      <c r="D4" s="6" t="s">
        <v>4</v>
      </c>
    </row>
    <row r="5" customFormat="false" ht="19.5" hidden="false" customHeight="true" outlineLevel="0" collapsed="false">
      <c r="B5" s="5" t="s">
        <v>5</v>
      </c>
      <c r="C5" s="6" t="n">
        <v>1</v>
      </c>
      <c r="D5" s="6" t="n">
        <v>2</v>
      </c>
    </row>
    <row r="6" customFormat="false" ht="19.5" hidden="false" customHeight="true" outlineLevel="0" collapsed="false">
      <c r="B6" s="5" t="s">
        <v>6</v>
      </c>
      <c r="C6" s="6" t="s">
        <v>7</v>
      </c>
      <c r="D6" s="6" t="s">
        <v>7</v>
      </c>
    </row>
    <row r="7" customFormat="false" ht="19.5" hidden="false" customHeight="true" outlineLevel="0" collapsed="false">
      <c r="B7" s="5" t="s">
        <v>8</v>
      </c>
      <c r="C7" s="7" t="n">
        <v>46265</v>
      </c>
      <c r="D7" s="7" t="n">
        <v>46286</v>
      </c>
    </row>
    <row r="8" customFormat="false" ht="19.5" hidden="false" customHeight="true" outlineLevel="0" collapsed="false">
      <c r="B8" s="5" t="s">
        <v>9</v>
      </c>
      <c r="C8" s="7" t="n">
        <v>46282</v>
      </c>
      <c r="D8" s="7" t="n">
        <v>46303</v>
      </c>
    </row>
    <row r="9" customFormat="false" ht="19.5" hidden="false" customHeight="true" outlineLevel="0" collapsed="false">
      <c r="B9" s="5" t="s">
        <v>10</v>
      </c>
      <c r="C9" s="6" t="n">
        <v>6</v>
      </c>
      <c r="D9" s="6" t="n">
        <v>6</v>
      </c>
    </row>
    <row r="10" customFormat="false" ht="19.5" hidden="false" customHeight="true" outlineLevel="0" collapsed="false">
      <c r="B10" s="5" t="s">
        <v>11</v>
      </c>
      <c r="C10" s="6" t="n">
        <f aca="false">'📋 Sprint Backlog-S1'!E14</f>
        <v>18</v>
      </c>
      <c r="D10" s="6" t="n">
        <f aca="false">'📋 Sprint Backlog-S2'!E12</f>
        <v>13</v>
      </c>
    </row>
    <row r="11" customFormat="false" ht="19.5" hidden="false" customHeight="true" outlineLevel="0" collapsed="false">
      <c r="B11" s="5" t="s">
        <v>12</v>
      </c>
      <c r="C11" s="6" t="n">
        <v>0</v>
      </c>
      <c r="D11" s="6" t="n">
        <v>0</v>
      </c>
    </row>
    <row r="12" customFormat="false" ht="19.5" hidden="false" customHeight="true" outlineLevel="0" collapsed="false">
      <c r="B12" s="5" t="s">
        <v>13</v>
      </c>
      <c r="C12" s="6" t="n">
        <v>5</v>
      </c>
      <c r="D12" s="6" t="n">
        <v>5</v>
      </c>
    </row>
    <row r="13" customFormat="false" ht="15" hidden="false" customHeight="false" outlineLevel="0" collapsed="false">
      <c r="B13" s="4" t="s">
        <v>14</v>
      </c>
      <c r="C13" s="4"/>
      <c r="D13" s="4"/>
    </row>
    <row r="14" customFormat="false" ht="15" hidden="false" customHeight="false" outlineLevel="0" collapsed="false">
      <c r="B14" s="8" t="s">
        <v>15</v>
      </c>
      <c r="C14" s="8"/>
      <c r="D14" s="8"/>
    </row>
    <row r="15" customFormat="false" ht="15" hidden="false" customHeight="false" outlineLevel="0" collapsed="false">
      <c r="B15" s="8" t="s">
        <v>16</v>
      </c>
      <c r="C15" s="8"/>
      <c r="D15" s="8"/>
    </row>
    <row r="16" customFormat="false" ht="15" hidden="false" customHeight="false" outlineLevel="0" collapsed="false">
      <c r="B16" s="8" t="s">
        <v>17</v>
      </c>
      <c r="C16" s="8"/>
      <c r="D16" s="8"/>
    </row>
    <row r="17" customFormat="false" ht="15" hidden="false" customHeight="false" outlineLevel="0" collapsed="false">
      <c r="B17" s="8" t="s">
        <v>18</v>
      </c>
      <c r="C17" s="8"/>
      <c r="D17" s="8"/>
    </row>
    <row r="18" customFormat="false" ht="15" hidden="false" customHeight="false" outlineLevel="0" collapsed="false">
      <c r="B18" s="8" t="s">
        <v>19</v>
      </c>
      <c r="C18" s="8"/>
      <c r="D18" s="8"/>
    </row>
    <row r="19" customFormat="false" ht="15" hidden="false" customHeight="false" outlineLevel="0" collapsed="false">
      <c r="B19" s="9" t="s">
        <v>20</v>
      </c>
      <c r="C19" s="9"/>
      <c r="D19" s="9"/>
    </row>
    <row r="20" customFormat="false" ht="15" hidden="false" customHeight="true" outlineLevel="0" collapsed="false">
      <c r="B20" s="10" t="s">
        <v>21</v>
      </c>
      <c r="C20" s="10"/>
      <c r="D20" s="10"/>
    </row>
    <row r="21" customFormat="false" ht="15" hidden="false" customHeight="false" outlineLevel="0" collapsed="false">
      <c r="B21" s="10"/>
      <c r="C21" s="10"/>
      <c r="D21" s="10"/>
    </row>
    <row r="22" customFormat="false" ht="15" hidden="false" customHeight="false" outlineLevel="0" collapsed="false">
      <c r="B22" s="10"/>
      <c r="C22" s="10"/>
      <c r="D22" s="10"/>
    </row>
    <row r="23" customFormat="false" ht="15" hidden="false" customHeight="false" outlineLevel="0" collapsed="false">
      <c r="B23" s="10"/>
      <c r="C23" s="10"/>
      <c r="D23" s="10"/>
    </row>
  </sheetData>
  <mergeCells count="11">
    <mergeCell ref="B1:D1"/>
    <mergeCell ref="B2:D2"/>
    <mergeCell ref="B3:D3"/>
    <mergeCell ref="B13:D13"/>
    <mergeCell ref="B14:D14"/>
    <mergeCell ref="B15:D15"/>
    <mergeCell ref="B16:D16"/>
    <mergeCell ref="B17:D17"/>
    <mergeCell ref="B18:D18"/>
    <mergeCell ref="B19:D19"/>
    <mergeCell ref="B20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74.43"/>
    <col collapsed="false" customWidth="true" hidden="false" outlineLevel="0" max="4" min="4" style="1" width="16.93"/>
    <col collapsed="false" customWidth="true" hidden="false" outlineLevel="0" max="5" min="5" style="1" width="14.86"/>
    <col collapsed="false" customWidth="true" hidden="false" outlineLevel="0" max="6" min="6" style="1" width="17.86"/>
    <col collapsed="false" customWidth="true" hidden="false" outlineLevel="0" max="7" min="7" style="1" width="14.43"/>
    <col collapsed="false" customWidth="true" hidden="false" outlineLevel="0" max="8" min="8" style="1" width="10.29"/>
    <col collapsed="false" customWidth="true" hidden="false" outlineLevel="0" max="9" min="9" style="1" width="3"/>
  </cols>
  <sheetData>
    <row r="1" customFormat="false" ht="19.7" hidden="false" customHeight="false" outlineLevel="0" collapsed="false">
      <c r="B1" s="2" t="s">
        <v>22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23</v>
      </c>
      <c r="C2" s="3"/>
      <c r="D2" s="3"/>
      <c r="E2" s="3"/>
      <c r="F2" s="3"/>
      <c r="G2" s="3"/>
      <c r="H2" s="3"/>
    </row>
    <row r="3" customFormat="false" ht="25.5" hidden="false" customHeight="true" outlineLevel="0" collapsed="false">
      <c r="B3" s="11" t="s">
        <v>24</v>
      </c>
      <c r="C3" s="11" t="s">
        <v>25</v>
      </c>
      <c r="D3" s="11" t="s">
        <v>26</v>
      </c>
      <c r="E3" s="12" t="s">
        <v>27</v>
      </c>
      <c r="F3" s="13" t="s">
        <v>28</v>
      </c>
      <c r="G3" s="14" t="s">
        <v>29</v>
      </c>
      <c r="H3" s="15" t="s">
        <v>30</v>
      </c>
    </row>
    <row r="4" customFormat="false" ht="30" hidden="false" customHeight="true" outlineLevel="0" collapsed="false">
      <c r="B4" s="16" t="s">
        <v>31</v>
      </c>
      <c r="C4" s="17" t="s">
        <v>32</v>
      </c>
      <c r="D4" s="18" t="s">
        <v>33</v>
      </c>
      <c r="E4" s="19" t="n">
        <v>1</v>
      </c>
      <c r="F4" s="20" t="n">
        <v>1</v>
      </c>
      <c r="G4" s="21" t="s">
        <v>34</v>
      </c>
      <c r="H4" s="22" t="s">
        <v>35</v>
      </c>
    </row>
    <row r="5" customFormat="false" ht="30" hidden="false" customHeight="true" outlineLevel="0" collapsed="false">
      <c r="B5" s="16" t="s">
        <v>31</v>
      </c>
      <c r="C5" s="23" t="s">
        <v>36</v>
      </c>
      <c r="D5" s="24" t="s">
        <v>37</v>
      </c>
      <c r="E5" s="19" t="n">
        <v>1</v>
      </c>
      <c r="F5" s="20" t="n">
        <v>1</v>
      </c>
      <c r="G5" s="21" t="s">
        <v>34</v>
      </c>
      <c r="H5" s="22" t="s">
        <v>35</v>
      </c>
    </row>
    <row r="6" customFormat="false" ht="30" hidden="false" customHeight="true" outlineLevel="0" collapsed="false">
      <c r="B6" s="16" t="s">
        <v>31</v>
      </c>
      <c r="C6" s="17" t="s">
        <v>38</v>
      </c>
      <c r="D6" s="25" t="s">
        <v>39</v>
      </c>
      <c r="E6" s="19" t="n">
        <v>1</v>
      </c>
      <c r="F6" s="20" t="n">
        <v>1</v>
      </c>
      <c r="G6" s="21" t="s">
        <v>34</v>
      </c>
      <c r="H6" s="22" t="s">
        <v>35</v>
      </c>
    </row>
    <row r="7" customFormat="false" ht="30" hidden="false" customHeight="true" outlineLevel="0" collapsed="false">
      <c r="B7" s="16" t="s">
        <v>31</v>
      </c>
      <c r="C7" s="23" t="s">
        <v>40</v>
      </c>
      <c r="D7" s="18" t="s">
        <v>33</v>
      </c>
      <c r="E7" s="19" t="n">
        <v>2</v>
      </c>
      <c r="F7" s="20" t="n">
        <v>2</v>
      </c>
      <c r="G7" s="21" t="s">
        <v>34</v>
      </c>
      <c r="H7" s="26" t="s">
        <v>41</v>
      </c>
    </row>
    <row r="8" customFormat="false" ht="30" hidden="false" customHeight="true" outlineLevel="0" collapsed="false">
      <c r="B8" s="16" t="s">
        <v>31</v>
      </c>
      <c r="C8" s="17" t="s">
        <v>42</v>
      </c>
      <c r="D8" s="25" t="s">
        <v>43</v>
      </c>
      <c r="E8" s="19" t="n">
        <v>2</v>
      </c>
      <c r="F8" s="20" t="n">
        <v>2</v>
      </c>
      <c r="G8" s="21" t="s">
        <v>34</v>
      </c>
      <c r="H8" s="26" t="s">
        <v>41</v>
      </c>
    </row>
    <row r="9" customFormat="false" ht="30" hidden="false" customHeight="true" outlineLevel="0" collapsed="false">
      <c r="B9" s="16" t="s">
        <v>31</v>
      </c>
      <c r="C9" s="23" t="s">
        <v>44</v>
      </c>
      <c r="D9" s="24" t="s">
        <v>37</v>
      </c>
      <c r="E9" s="19" t="n">
        <v>2</v>
      </c>
      <c r="F9" s="20" t="n">
        <v>2</v>
      </c>
      <c r="G9" s="21" t="s">
        <v>34</v>
      </c>
      <c r="H9" s="22" t="s">
        <v>35</v>
      </c>
    </row>
    <row r="10" customFormat="false" ht="30" hidden="false" customHeight="true" outlineLevel="0" collapsed="false">
      <c r="B10" s="16" t="s">
        <v>31</v>
      </c>
      <c r="C10" s="27" t="s">
        <v>45</v>
      </c>
      <c r="D10" s="24" t="s">
        <v>37</v>
      </c>
      <c r="E10" s="19" t="n">
        <v>2</v>
      </c>
      <c r="F10" s="20" t="n">
        <v>2</v>
      </c>
      <c r="G10" s="21" t="s">
        <v>34</v>
      </c>
      <c r="H10" s="22" t="s">
        <v>35</v>
      </c>
    </row>
    <row r="11" customFormat="false" ht="30" hidden="false" customHeight="true" outlineLevel="0" collapsed="false">
      <c r="B11" s="16" t="s">
        <v>31</v>
      </c>
      <c r="C11" s="17" t="s">
        <v>46</v>
      </c>
      <c r="D11" s="25" t="s">
        <v>39</v>
      </c>
      <c r="E11" s="19" t="n">
        <v>2</v>
      </c>
      <c r="F11" s="20" t="n">
        <v>2</v>
      </c>
      <c r="G11" s="21" t="s">
        <v>34</v>
      </c>
      <c r="H11" s="26" t="s">
        <v>41</v>
      </c>
    </row>
    <row r="12" customFormat="false" ht="30" hidden="false" customHeight="true" outlineLevel="0" collapsed="false">
      <c r="B12" s="16" t="s">
        <v>47</v>
      </c>
      <c r="C12" s="17" t="s">
        <v>48</v>
      </c>
      <c r="D12" s="24" t="s">
        <v>49</v>
      </c>
      <c r="E12" s="19" t="n">
        <v>3</v>
      </c>
      <c r="F12" s="20" t="n">
        <v>3</v>
      </c>
      <c r="G12" s="21" t="s">
        <v>34</v>
      </c>
      <c r="H12" s="26" t="s">
        <v>41</v>
      </c>
    </row>
    <row r="13" customFormat="false" ht="30" hidden="false" customHeight="true" outlineLevel="0" collapsed="false">
      <c r="B13" s="16" t="s">
        <v>50</v>
      </c>
      <c r="C13" s="17" t="s">
        <v>51</v>
      </c>
      <c r="D13" s="18" t="s">
        <v>49</v>
      </c>
      <c r="E13" s="19" t="n">
        <v>2</v>
      </c>
      <c r="F13" s="20" t="n">
        <v>2</v>
      </c>
      <c r="G13" s="21" t="s">
        <v>34</v>
      </c>
      <c r="H13" s="22" t="s">
        <v>35</v>
      </c>
    </row>
    <row r="14" customFormat="false" ht="16.15" hidden="false" customHeight="true" outlineLevel="0" collapsed="false">
      <c r="B14" s="28" t="s">
        <v>52</v>
      </c>
      <c r="C14" s="28"/>
      <c r="D14" s="28"/>
      <c r="E14" s="29" t="n">
        <f aca="false">SUM(E4:E13)</f>
        <v>18</v>
      </c>
      <c r="F14" s="30" t="n">
        <f aca="false">SUM(F4:F13)</f>
        <v>18</v>
      </c>
      <c r="G14" s="31" t="n">
        <f aca="false">IFERROR(F14/E14,0)</f>
        <v>1</v>
      </c>
      <c r="H14" s="32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B1:H1"/>
    <mergeCell ref="B2:H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9"/>
    <col collapsed="false" customWidth="true" hidden="false" outlineLevel="0" max="3" min="3" style="1" width="74.43"/>
    <col collapsed="false" customWidth="true" hidden="false" outlineLevel="0" max="4" min="4" style="1" width="16.93"/>
    <col collapsed="false" customWidth="true" hidden="false" outlineLevel="0" max="5" min="5" style="1" width="14.86"/>
    <col collapsed="false" customWidth="true" hidden="false" outlineLevel="0" max="6" min="6" style="1" width="17.86"/>
    <col collapsed="false" customWidth="true" hidden="false" outlineLevel="0" max="7" min="7" style="1" width="14.43"/>
    <col collapsed="false" customWidth="true" hidden="false" outlineLevel="0" max="8" min="8" style="1" width="10.29"/>
    <col collapsed="false" customWidth="true" hidden="false" outlineLevel="0" max="9" min="9" style="1" width="3"/>
  </cols>
  <sheetData>
    <row r="1" customFormat="false" ht="19.7" hidden="false" customHeight="false" outlineLevel="0" collapsed="false">
      <c r="B1" s="2" t="s">
        <v>22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23</v>
      </c>
      <c r="C2" s="3"/>
      <c r="D2" s="3"/>
      <c r="E2" s="3"/>
      <c r="F2" s="3"/>
      <c r="G2" s="3"/>
      <c r="H2" s="3"/>
    </row>
    <row r="3" customFormat="false" ht="25.5" hidden="false" customHeight="true" outlineLevel="0" collapsed="false">
      <c r="B3" s="11" t="s">
        <v>24</v>
      </c>
      <c r="C3" s="11" t="s">
        <v>25</v>
      </c>
      <c r="D3" s="11" t="s">
        <v>26</v>
      </c>
      <c r="E3" s="12" t="s">
        <v>27</v>
      </c>
      <c r="F3" s="13" t="s">
        <v>28</v>
      </c>
      <c r="G3" s="14" t="s">
        <v>29</v>
      </c>
      <c r="H3" s="15" t="s">
        <v>30</v>
      </c>
    </row>
    <row r="4" customFormat="false" ht="30" hidden="false" customHeight="true" outlineLevel="0" collapsed="false">
      <c r="B4" s="16" t="s">
        <v>53</v>
      </c>
      <c r="C4" s="17" t="s">
        <v>54</v>
      </c>
      <c r="D4" s="18" t="s">
        <v>55</v>
      </c>
      <c r="E4" s="19" t="n">
        <v>3</v>
      </c>
      <c r="F4" s="20" t="n">
        <v>3</v>
      </c>
      <c r="G4" s="21" t="s">
        <v>56</v>
      </c>
      <c r="H4" s="22" t="s">
        <v>35</v>
      </c>
    </row>
    <row r="5" customFormat="false" ht="30" hidden="false" customHeight="true" outlineLevel="0" collapsed="false">
      <c r="B5" s="16" t="s">
        <v>53</v>
      </c>
      <c r="C5" s="23" t="s">
        <v>57</v>
      </c>
      <c r="D5" s="24" t="s">
        <v>58</v>
      </c>
      <c r="E5" s="19" t="n">
        <v>2</v>
      </c>
      <c r="F5" s="20" t="n">
        <v>2</v>
      </c>
      <c r="G5" s="21" t="s">
        <v>56</v>
      </c>
      <c r="H5" s="22" t="s">
        <v>35</v>
      </c>
    </row>
    <row r="6" customFormat="false" ht="30" hidden="false" customHeight="true" outlineLevel="0" collapsed="false">
      <c r="B6" s="16" t="s">
        <v>59</v>
      </c>
      <c r="C6" s="17" t="s">
        <v>60</v>
      </c>
      <c r="D6" s="25" t="s">
        <v>33</v>
      </c>
      <c r="E6" s="19" t="n">
        <v>2</v>
      </c>
      <c r="F6" s="20" t="n">
        <v>2</v>
      </c>
      <c r="G6" s="21" t="s">
        <v>56</v>
      </c>
      <c r="H6" s="22" t="s">
        <v>35</v>
      </c>
    </row>
    <row r="7" customFormat="false" ht="30" hidden="false" customHeight="true" outlineLevel="0" collapsed="false">
      <c r="B7" s="16" t="s">
        <v>53</v>
      </c>
      <c r="C7" s="23" t="s">
        <v>61</v>
      </c>
      <c r="D7" s="18" t="s">
        <v>55</v>
      </c>
      <c r="E7" s="19" t="n">
        <v>1</v>
      </c>
      <c r="F7" s="20" t="n">
        <v>1</v>
      </c>
      <c r="G7" s="21" t="s">
        <v>56</v>
      </c>
      <c r="H7" s="26" t="s">
        <v>41</v>
      </c>
    </row>
    <row r="8" customFormat="false" ht="30" hidden="false" customHeight="true" outlineLevel="0" collapsed="false">
      <c r="B8" s="16" t="s">
        <v>53</v>
      </c>
      <c r="C8" s="17" t="s">
        <v>62</v>
      </c>
      <c r="D8" s="24" t="s">
        <v>58</v>
      </c>
      <c r="E8" s="19" t="n">
        <v>2</v>
      </c>
      <c r="F8" s="20" t="n">
        <v>2</v>
      </c>
      <c r="G8" s="21" t="s">
        <v>56</v>
      </c>
      <c r="H8" s="26" t="s">
        <v>41</v>
      </c>
    </row>
    <row r="9" customFormat="false" ht="30" hidden="false" customHeight="true" outlineLevel="0" collapsed="false">
      <c r="B9" s="16" t="s">
        <v>63</v>
      </c>
      <c r="C9" s="23" t="s">
        <v>64</v>
      </c>
      <c r="D9" s="25" t="s">
        <v>33</v>
      </c>
      <c r="E9" s="19" t="n">
        <v>1</v>
      </c>
      <c r="F9" s="20" t="n">
        <v>1</v>
      </c>
      <c r="G9" s="21" t="s">
        <v>56</v>
      </c>
      <c r="H9" s="22" t="s">
        <v>35</v>
      </c>
    </row>
    <row r="10" customFormat="false" ht="30" hidden="false" customHeight="true" outlineLevel="0" collapsed="false">
      <c r="B10" s="16" t="s">
        <v>63</v>
      </c>
      <c r="C10" s="27" t="s">
        <v>65</v>
      </c>
      <c r="D10" s="24" t="s">
        <v>58</v>
      </c>
      <c r="E10" s="19" t="n">
        <v>1</v>
      </c>
      <c r="F10" s="20" t="n">
        <v>1</v>
      </c>
      <c r="G10" s="21" t="s">
        <v>56</v>
      </c>
      <c r="H10" s="22" t="s">
        <v>35</v>
      </c>
    </row>
    <row r="11" customFormat="false" ht="30" hidden="false" customHeight="true" outlineLevel="0" collapsed="false">
      <c r="B11" s="16" t="s">
        <v>63</v>
      </c>
      <c r="C11" s="17" t="s">
        <v>66</v>
      </c>
      <c r="D11" s="25" t="s">
        <v>39</v>
      </c>
      <c r="E11" s="19" t="n">
        <v>1</v>
      </c>
      <c r="F11" s="20" t="n">
        <v>1</v>
      </c>
      <c r="G11" s="21" t="s">
        <v>56</v>
      </c>
      <c r="H11" s="26" t="s">
        <v>41</v>
      </c>
    </row>
    <row r="12" customFormat="false" ht="16.15" hidden="false" customHeight="true" outlineLevel="0" collapsed="false">
      <c r="B12" s="28" t="s">
        <v>52</v>
      </c>
      <c r="C12" s="28"/>
      <c r="D12" s="28"/>
      <c r="E12" s="29" t="n">
        <f aca="false">SUM(E4:E11)</f>
        <v>13</v>
      </c>
      <c r="F12" s="30" t="n">
        <f aca="false">SUM(F4:F11)</f>
        <v>13</v>
      </c>
      <c r="G12" s="31" t="n">
        <f aca="false">IFERROR(F12/E12,0)</f>
        <v>1</v>
      </c>
      <c r="H12" s="3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B1:H1"/>
    <mergeCell ref="B2:H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4" activeCellId="0" sqref="E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7" min="6" style="1" width="15"/>
    <col collapsed="false" customWidth="true" hidden="false" outlineLevel="0" max="8" min="8" style="1" width="3"/>
  </cols>
  <sheetData>
    <row r="1" customFormat="false" ht="19.7" hidden="false" customHeight="false" outlineLevel="0" collapsed="false">
      <c r="B1" s="2" t="s">
        <v>67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68</v>
      </c>
      <c r="C2" s="3"/>
      <c r="D2" s="3"/>
      <c r="E2" s="3"/>
      <c r="F2" s="3"/>
      <c r="G2" s="3"/>
    </row>
    <row r="3" customFormat="false" ht="30" hidden="false" customHeight="true" outlineLevel="0" collapsed="false">
      <c r="B3" s="33" t="s">
        <v>69</v>
      </c>
      <c r="C3" s="33" t="s">
        <v>70</v>
      </c>
      <c r="D3" s="34" t="s">
        <v>71</v>
      </c>
      <c r="E3" s="35" t="s">
        <v>72</v>
      </c>
      <c r="F3" s="36" t="s">
        <v>73</v>
      </c>
      <c r="G3" s="37" t="s">
        <v>74</v>
      </c>
    </row>
    <row r="4" customFormat="false" ht="21.75" hidden="false" customHeight="true" outlineLevel="0" collapsed="false">
      <c r="B4" s="38" t="n">
        <v>1</v>
      </c>
      <c r="C4" s="39" t="s">
        <v>75</v>
      </c>
      <c r="D4" s="40" t="n">
        <f aca="false">'⚙ Configuración'!$C$10*(6-B4)/5</f>
        <v>18</v>
      </c>
      <c r="E4" s="20" t="n">
        <v>4</v>
      </c>
      <c r="F4" s="41" t="n">
        <f aca="false">SUM($E$4:E4)</f>
        <v>4</v>
      </c>
      <c r="G4" s="42" t="n">
        <f aca="false">'⚙ Configuración'!$C$10-F4</f>
        <v>14</v>
      </c>
    </row>
    <row r="5" customFormat="false" ht="21.75" hidden="false" customHeight="true" outlineLevel="0" collapsed="false">
      <c r="B5" s="43" t="n">
        <v>2</v>
      </c>
      <c r="C5" s="21" t="s">
        <v>76</v>
      </c>
      <c r="D5" s="40" t="n">
        <f aca="false">'⚙ Configuración'!$C$10*(6-B5)/5</f>
        <v>14.4</v>
      </c>
      <c r="E5" s="20" t="n">
        <v>4</v>
      </c>
      <c r="F5" s="41" t="n">
        <f aca="false">SUM($E$4:E5)</f>
        <v>8</v>
      </c>
      <c r="G5" s="42" t="n">
        <f aca="false">'⚙ Configuración'!$C$10-F5</f>
        <v>10</v>
      </c>
    </row>
    <row r="6" customFormat="false" ht="21.75" hidden="false" customHeight="true" outlineLevel="0" collapsed="false">
      <c r="B6" s="38" t="n">
        <v>3</v>
      </c>
      <c r="C6" s="39" t="s">
        <v>77</v>
      </c>
      <c r="D6" s="40" t="n">
        <f aca="false">'⚙ Configuración'!$C$10*(6-B6)/5</f>
        <v>10.8</v>
      </c>
      <c r="E6" s="20" t="n">
        <v>3</v>
      </c>
      <c r="F6" s="41" t="n">
        <f aca="false">SUM($E$4:E6)</f>
        <v>11</v>
      </c>
      <c r="G6" s="42" t="n">
        <f aca="false">'⚙ Configuración'!$C$10-F6</f>
        <v>7</v>
      </c>
    </row>
    <row r="7" customFormat="false" ht="21.75" hidden="false" customHeight="true" outlineLevel="0" collapsed="false">
      <c r="B7" s="43" t="n">
        <v>4</v>
      </c>
      <c r="C7" s="21" t="s">
        <v>78</v>
      </c>
      <c r="D7" s="40" t="n">
        <f aca="false">'⚙ Configuración'!$C$10*(6-B7)/5</f>
        <v>7.2</v>
      </c>
      <c r="E7" s="20" t="n">
        <v>2</v>
      </c>
      <c r="F7" s="41" t="n">
        <f aca="false">SUM($E$4:E7)</f>
        <v>13</v>
      </c>
      <c r="G7" s="42" t="n">
        <f aca="false">'⚙ Configuración'!$C$10-F7</f>
        <v>5</v>
      </c>
    </row>
    <row r="8" customFormat="false" ht="21.75" hidden="false" customHeight="true" outlineLevel="0" collapsed="false">
      <c r="B8" s="38" t="n">
        <v>5</v>
      </c>
      <c r="C8" s="39" t="s">
        <v>79</v>
      </c>
      <c r="D8" s="40" t="n">
        <f aca="false">'⚙ Configuración'!$C$10*(6-B8)/5</f>
        <v>3.6</v>
      </c>
      <c r="E8" s="20" t="n">
        <v>2</v>
      </c>
      <c r="F8" s="41" t="n">
        <f aca="false">SUM($E$4:E8)</f>
        <v>15</v>
      </c>
      <c r="G8" s="42" t="n">
        <f aca="false">'⚙ Configuración'!$C$10-F8</f>
        <v>3</v>
      </c>
    </row>
    <row r="9" customFormat="false" ht="21.75" hidden="false" customHeight="true" outlineLevel="0" collapsed="false">
      <c r="B9" s="43" t="n">
        <v>6</v>
      </c>
      <c r="C9" s="21" t="s">
        <v>80</v>
      </c>
      <c r="D9" s="40" t="n">
        <f aca="false">'⚙ Configuración'!$C$10*(6-B9)/5</f>
        <v>0</v>
      </c>
      <c r="E9" s="20" t="n">
        <v>3</v>
      </c>
      <c r="F9" s="41" t="n">
        <f aca="false">SUM($E$4:E9)</f>
        <v>18</v>
      </c>
      <c r="G9" s="42" t="n">
        <f aca="false">'⚙ Configuración'!$C$10-F9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5" activeCellId="0" sqref="D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7" min="6" style="1" width="15"/>
    <col collapsed="false" customWidth="true" hidden="false" outlineLevel="0" max="8" min="8" style="1" width="3"/>
  </cols>
  <sheetData>
    <row r="1" customFormat="false" ht="19.7" hidden="false" customHeight="false" outlineLevel="0" collapsed="false">
      <c r="B1" s="2" t="s">
        <v>67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68</v>
      </c>
      <c r="C2" s="3"/>
      <c r="D2" s="3"/>
      <c r="E2" s="3"/>
      <c r="F2" s="3"/>
      <c r="G2" s="3"/>
    </row>
    <row r="3" customFormat="false" ht="30" hidden="false" customHeight="true" outlineLevel="0" collapsed="false">
      <c r="B3" s="33" t="s">
        <v>69</v>
      </c>
      <c r="C3" s="33" t="s">
        <v>70</v>
      </c>
      <c r="D3" s="34" t="s">
        <v>71</v>
      </c>
      <c r="E3" s="35" t="s">
        <v>72</v>
      </c>
      <c r="F3" s="36" t="s">
        <v>73</v>
      </c>
      <c r="G3" s="37" t="s">
        <v>74</v>
      </c>
    </row>
    <row r="4" customFormat="false" ht="21.75" hidden="false" customHeight="true" outlineLevel="0" collapsed="false">
      <c r="B4" s="38" t="n">
        <v>1</v>
      </c>
      <c r="C4" s="39" t="s">
        <v>76</v>
      </c>
      <c r="D4" s="40" t="n">
        <f aca="false">'📋 Sprint Backlog-S2'!E12</f>
        <v>13</v>
      </c>
      <c r="E4" s="20" t="n">
        <v>2</v>
      </c>
      <c r="F4" s="41" t="n">
        <f aca="false">SUM($E$4:E4)</f>
        <v>2</v>
      </c>
      <c r="G4" s="42" t="n">
        <f aca="false">'📋 Sprint Backlog-S2'!E12-F4</f>
        <v>11</v>
      </c>
    </row>
    <row r="5" customFormat="false" ht="21.75" hidden="false" customHeight="true" outlineLevel="0" collapsed="false">
      <c r="B5" s="43" t="n">
        <v>2</v>
      </c>
      <c r="C5" s="21" t="s">
        <v>77</v>
      </c>
      <c r="D5" s="40" t="n">
        <f aca="false">'⚙ Configuración'!$C$10*(6-B5)/5</f>
        <v>14.4</v>
      </c>
      <c r="E5" s="20" t="n">
        <v>2</v>
      </c>
      <c r="F5" s="41" t="n">
        <f aca="false">SUM($E$4:E5)</f>
        <v>4</v>
      </c>
      <c r="G5" s="42" t="n">
        <f aca="false">'📋 Sprint Backlog-S2'!E12-F5</f>
        <v>9</v>
      </c>
    </row>
    <row r="6" customFormat="false" ht="21.75" hidden="false" customHeight="true" outlineLevel="0" collapsed="false">
      <c r="B6" s="38" t="n">
        <v>3</v>
      </c>
      <c r="C6" s="39" t="s">
        <v>78</v>
      </c>
      <c r="D6" s="40" t="n">
        <f aca="false">'⚙ Configuración'!$C$10*(6-B6)/5</f>
        <v>10.8</v>
      </c>
      <c r="E6" s="20" t="n">
        <v>1</v>
      </c>
      <c r="F6" s="41" t="n">
        <f aca="false">SUM($E$4:E6)</f>
        <v>5</v>
      </c>
      <c r="G6" s="42" t="n">
        <f aca="false">'📋 Sprint Backlog-S2'!E12-F6</f>
        <v>8</v>
      </c>
    </row>
    <row r="7" customFormat="false" ht="21.75" hidden="false" customHeight="true" outlineLevel="0" collapsed="false">
      <c r="B7" s="43" t="n">
        <v>4</v>
      </c>
      <c r="C7" s="21" t="s">
        <v>79</v>
      </c>
      <c r="D7" s="40" t="n">
        <f aca="false">'⚙ Configuración'!$C$10*(6-B7)/5</f>
        <v>7.2</v>
      </c>
      <c r="E7" s="20" t="n">
        <v>3</v>
      </c>
      <c r="F7" s="41" t="n">
        <f aca="false">SUM($E$4:E7)</f>
        <v>8</v>
      </c>
      <c r="G7" s="42" t="n">
        <f aca="false">'📋 Sprint Backlog-S2'!E12-F7</f>
        <v>5</v>
      </c>
    </row>
    <row r="8" customFormat="false" ht="21.75" hidden="false" customHeight="true" outlineLevel="0" collapsed="false">
      <c r="B8" s="38" t="n">
        <v>5</v>
      </c>
      <c r="C8" s="39" t="s">
        <v>80</v>
      </c>
      <c r="D8" s="40" t="n">
        <f aca="false">'⚙ Configuración'!$C$10*(6-B8)/5</f>
        <v>3.6</v>
      </c>
      <c r="E8" s="20" t="n">
        <v>2</v>
      </c>
      <c r="F8" s="41" t="n">
        <f aca="false">SUM($E$4:E8)</f>
        <v>10</v>
      </c>
      <c r="G8" s="42" t="n">
        <f aca="false">'📋 Sprint Backlog-S2'!E12-F8</f>
        <v>3</v>
      </c>
    </row>
    <row r="9" customFormat="false" ht="21.75" hidden="false" customHeight="true" outlineLevel="0" collapsed="false">
      <c r="B9" s="43" t="n">
        <v>6</v>
      </c>
      <c r="C9" s="21" t="s">
        <v>81</v>
      </c>
      <c r="D9" s="40" t="n">
        <f aca="false">'⚙ Configuración'!$C$10*(6-B9)/5</f>
        <v>0</v>
      </c>
      <c r="E9" s="20" t="n">
        <v>3</v>
      </c>
      <c r="F9" s="41" t="n">
        <f aca="false">SUM($E$4:E9)</f>
        <v>13</v>
      </c>
      <c r="G9" s="42" t="n">
        <f aca="false">'📋 Sprint Backlog-S2'!E12-F9</f>
        <v>0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22" activeCellId="0" sqref="F2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.72"/>
    <col collapsed="false" customWidth="true" hidden="false" outlineLevel="0" max="3" min="3" style="1" width="8"/>
    <col collapsed="false" customWidth="true" hidden="false" outlineLevel="0" max="4" min="4" style="1" width="56.14"/>
    <col collapsed="false" customWidth="true" hidden="false" outlineLevel="0" max="5" min="5" style="1" width="20"/>
    <col collapsed="false" customWidth="true" hidden="false" outlineLevel="0" max="6" min="6" style="1" width="16.26"/>
  </cols>
  <sheetData>
    <row r="1" customFormat="false" ht="19.7" hidden="false" customHeight="false" outlineLevel="0" collapsed="false">
      <c r="B1" s="2" t="s">
        <v>82</v>
      </c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B2" s="3" t="s">
        <v>83</v>
      </c>
      <c r="C2" s="3"/>
      <c r="D2" s="3"/>
      <c r="E2" s="3"/>
      <c r="F2" s="3" t="s">
        <v>84</v>
      </c>
      <c r="G2" s="3"/>
      <c r="H2" s="3"/>
      <c r="I2" s="3"/>
    </row>
    <row r="3" customFormat="false" ht="15" hidden="false" customHeight="false" outlineLevel="0" collapsed="false">
      <c r="B3" s="4" t="s">
        <v>85</v>
      </c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B4" s="44" t="s">
        <v>86</v>
      </c>
      <c r="C4" s="45" t="n">
        <f aca="false">'📋 Sprint Backlog-S1'!E14</f>
        <v>18</v>
      </c>
      <c r="D4" s="46" t="s">
        <v>87</v>
      </c>
      <c r="E4" s="47"/>
      <c r="F4" s="45" t="n">
        <f aca="false">'📋 Sprint Backlog-S2'!E12</f>
        <v>13</v>
      </c>
    </row>
    <row r="5" customFormat="false" ht="15" hidden="false" customHeight="false" outlineLevel="0" collapsed="false">
      <c r="B5" s="5" t="s">
        <v>88</v>
      </c>
      <c r="C5" s="45" t="n">
        <f aca="false">'📋 Sprint Backlog-S1'!F14</f>
        <v>18</v>
      </c>
      <c r="D5" s="48" t="s">
        <v>89</v>
      </c>
      <c r="E5" s="49"/>
      <c r="F5" s="45" t="n">
        <f aca="false">'📋 Sprint Backlog-S2'!F12</f>
        <v>13</v>
      </c>
    </row>
    <row r="6" customFormat="false" ht="15" hidden="false" customHeight="false" outlineLevel="0" collapsed="false">
      <c r="B6" s="44" t="s">
        <v>90</v>
      </c>
      <c r="C6" s="45" t="n">
        <f aca="false">'📋 Sprint Backlog-S1'!E14-'📋 Sprint Backlog-S1'!F14</f>
        <v>0</v>
      </c>
      <c r="D6" s="46" t="s">
        <v>91</v>
      </c>
      <c r="E6" s="47"/>
      <c r="F6" s="45" t="n">
        <f aca="false">F4-F5</f>
        <v>0</v>
      </c>
    </row>
    <row r="7" customFormat="false" ht="15" hidden="false" customHeight="false" outlineLevel="0" collapsed="false">
      <c r="B7" s="5" t="s">
        <v>92</v>
      </c>
      <c r="C7" s="50" t="n">
        <f aca="false">IFERROR('📋 Sprint Backlog-S1'!F14/'📋 Sprint Backlog-S1'!E14,0)</f>
        <v>1</v>
      </c>
      <c r="D7" s="48" t="s">
        <v>93</v>
      </c>
      <c r="E7" s="49"/>
      <c r="F7" s="45" t="n">
        <v>39</v>
      </c>
    </row>
    <row r="8" customFormat="false" ht="15" hidden="false" customHeight="false" outlineLevel="0" collapsed="false">
      <c r="B8" s="44" t="s">
        <v>94</v>
      </c>
      <c r="C8" s="45" t="n">
        <v>1</v>
      </c>
      <c r="D8" s="46" t="s">
        <v>95</v>
      </c>
      <c r="E8" s="47"/>
      <c r="F8" s="45" t="n">
        <v>3</v>
      </c>
    </row>
    <row r="9" customFormat="false" ht="15" hidden="false" customHeight="false" outlineLevel="0" collapsed="false">
      <c r="B9" s="5" t="s">
        <v>96</v>
      </c>
      <c r="C9" s="45" t="n">
        <v>0</v>
      </c>
      <c r="D9" s="48" t="s">
        <v>97</v>
      </c>
      <c r="E9" s="49"/>
      <c r="F9" s="45" t="n">
        <v>0</v>
      </c>
    </row>
    <row r="10" customFormat="false" ht="15" hidden="false" customHeight="false" outlineLevel="0" collapsed="false">
      <c r="B10" s="9" t="s">
        <v>98</v>
      </c>
      <c r="C10" s="9"/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B11" s="5" t="s">
        <v>99</v>
      </c>
      <c r="C11" s="45" t="n">
        <f aca="false">C4</f>
        <v>18</v>
      </c>
      <c r="D11" s="48" t="s">
        <v>100</v>
      </c>
      <c r="E11" s="49"/>
      <c r="F11" s="45" t="n">
        <v>13</v>
      </c>
    </row>
    <row r="12" customFormat="false" ht="15" hidden="false" customHeight="false" outlineLevel="0" collapsed="false">
      <c r="B12" s="44" t="s">
        <v>12</v>
      </c>
      <c r="C12" s="45" t="n">
        <f aca="false">'⚙ Configuración'!C11</f>
        <v>0</v>
      </c>
      <c r="D12" s="46" t="s">
        <v>101</v>
      </c>
      <c r="E12" s="47"/>
      <c r="F12" s="45" t="n">
        <v>18</v>
      </c>
    </row>
    <row r="13" customFormat="false" ht="15" hidden="false" customHeight="false" outlineLevel="0" collapsed="false">
      <c r="B13" s="5" t="s">
        <v>102</v>
      </c>
      <c r="C13" s="51" t="n">
        <f aca="false">C11-C12</f>
        <v>18</v>
      </c>
      <c r="D13" s="48" t="s">
        <v>103</v>
      </c>
      <c r="E13" s="49"/>
      <c r="F13" s="45" t="n">
        <v>13</v>
      </c>
    </row>
    <row r="14" customFormat="false" ht="15" hidden="false" customHeight="false" outlineLevel="0" collapsed="false">
      <c r="B14" s="44" t="s">
        <v>104</v>
      </c>
      <c r="C14" s="52" t="n">
        <f aca="false">IFERROR(#REF!/'⚙ Configuración'!C12,0)</f>
        <v>0</v>
      </c>
      <c r="D14" s="46" t="s">
        <v>105</v>
      </c>
      <c r="E14" s="47"/>
      <c r="F14" s="45" t="n">
        <v>0</v>
      </c>
    </row>
    <row r="15" customFormat="false" ht="15" hidden="false" customHeight="false" outlineLevel="0" collapsed="false">
      <c r="B15" s="5" t="s">
        <v>106</v>
      </c>
      <c r="C15" s="53" t="n">
        <f aca="false">IFERROR(#REF!/('⚙ Configuración'!C12*'⚙ Configuración'!C9),0)</f>
        <v>0</v>
      </c>
      <c r="D15" s="48" t="s">
        <v>107</v>
      </c>
      <c r="E15" s="49"/>
      <c r="F15" s="45" t="n">
        <f aca="false">'📋 Sprint Backlog-S1'!H25</f>
        <v>0</v>
      </c>
    </row>
    <row r="16" customFormat="false" ht="15" hidden="false" customHeight="false" outlineLevel="0" collapsed="false">
      <c r="B16" s="54" t="s">
        <v>108</v>
      </c>
      <c r="C16" s="54"/>
      <c r="D16" s="54"/>
      <c r="E16" s="54"/>
      <c r="F16" s="54"/>
      <c r="G16" s="54"/>
      <c r="H16" s="54"/>
      <c r="I16" s="54"/>
    </row>
    <row r="17" customFormat="false" ht="15" hidden="false" customHeight="false" outlineLevel="0" collapsed="false">
      <c r="B17" s="5" t="s">
        <v>109</v>
      </c>
      <c r="C17" s="45" t="n">
        <v>6</v>
      </c>
      <c r="D17" s="48" t="s">
        <v>110</v>
      </c>
      <c r="E17" s="49"/>
      <c r="F17" s="45" t="n">
        <f aca="false">'⚙ Configuración'!D9</f>
        <v>6</v>
      </c>
    </row>
    <row r="18" customFormat="false" ht="15" hidden="false" customHeight="false" outlineLevel="0" collapsed="false">
      <c r="B18" s="44" t="s">
        <v>111</v>
      </c>
      <c r="C18" s="45" t="n">
        <f aca="false">'⚙ Configuración'!C9-C17</f>
        <v>0</v>
      </c>
      <c r="D18" s="46" t="s">
        <v>112</v>
      </c>
      <c r="E18" s="47"/>
      <c r="F18" s="45" t="n">
        <f aca="false">'⚙ Configuración'!D9-F17</f>
        <v>0</v>
      </c>
    </row>
    <row r="19" customFormat="false" ht="15" hidden="false" customHeight="false" outlineLevel="0" collapsed="false">
      <c r="B19" s="5" t="s">
        <v>113</v>
      </c>
      <c r="C19" s="52" t="n">
        <f aca="false">C4/C17</f>
        <v>3</v>
      </c>
      <c r="D19" s="48" t="s">
        <v>114</v>
      </c>
      <c r="E19" s="49"/>
      <c r="F19" s="55" t="n">
        <f aca="false">'📋 Sprint Backlog-S2'!E12/'⚙ Configuración'!D9</f>
        <v>2.16666666666667</v>
      </c>
    </row>
    <row r="20" customFormat="false" ht="15" hidden="false" customHeight="false" outlineLevel="0" collapsed="false">
      <c r="B20" s="44" t="s">
        <v>115</v>
      </c>
      <c r="C20" s="52" t="n">
        <f aca="false">C4/C17</f>
        <v>3</v>
      </c>
      <c r="D20" s="46" t="s">
        <v>116</v>
      </c>
      <c r="E20" s="47"/>
      <c r="F20" s="45" t="n">
        <v>2</v>
      </c>
    </row>
    <row r="21" customFormat="false" ht="15" hidden="false" customHeight="false" outlineLevel="0" collapsed="false">
      <c r="B21" s="5" t="s">
        <v>117</v>
      </c>
      <c r="C21" s="53" t="n">
        <f aca="false">IF(C17=0,1,C20/IFERROR(('⚙ Configuración'!C10/'⚙ Configuración'!C9),1))</f>
        <v>1</v>
      </c>
      <c r="D21" s="48" t="s">
        <v>118</v>
      </c>
      <c r="E21" s="49"/>
      <c r="F21" s="45" t="n">
        <v>1</v>
      </c>
    </row>
    <row r="22" customFormat="false" ht="15" hidden="false" customHeight="false" outlineLevel="0" collapsed="false">
      <c r="B22" s="56" t="s">
        <v>119</v>
      </c>
      <c r="C22" s="56"/>
      <c r="D22" s="56"/>
      <c r="E22" s="56"/>
      <c r="F22" s="45" t="n">
        <f aca="false">'📋 Sprint Backlog-S1'!H32</f>
        <v>0</v>
      </c>
    </row>
    <row r="23" customFormat="false" ht="15" hidden="false" customHeight="false" outlineLevel="0" collapsed="false">
      <c r="B23" s="57" t="s">
        <v>120</v>
      </c>
      <c r="C23" s="58" t="s">
        <v>121</v>
      </c>
      <c r="D23" s="58"/>
      <c r="E23" s="58"/>
      <c r="F23" s="58"/>
      <c r="G23" s="58"/>
      <c r="H23" s="58"/>
    </row>
    <row r="24" customFormat="false" ht="15" hidden="false" customHeight="false" outlineLevel="0" collapsed="false">
      <c r="B24" s="59" t="s">
        <v>122</v>
      </c>
      <c r="C24" s="60" t="s">
        <v>123</v>
      </c>
      <c r="D24" s="60"/>
      <c r="E24" s="60"/>
      <c r="F24" s="60"/>
      <c r="G24" s="60"/>
      <c r="H24" s="60"/>
    </row>
    <row r="25" customFormat="false" ht="15" hidden="false" customHeight="false" outlineLevel="0" collapsed="false">
      <c r="B25" s="61" t="s">
        <v>124</v>
      </c>
      <c r="C25" s="62" t="s">
        <v>125</v>
      </c>
      <c r="D25" s="62"/>
      <c r="E25" s="62"/>
      <c r="F25" s="62"/>
      <c r="G25" s="62"/>
      <c r="H25" s="62"/>
    </row>
    <row r="26" customFormat="false" ht="15" hidden="false" customHeight="false" outlineLevel="0" collapsed="false">
      <c r="B26" s="63" t="s">
        <v>126</v>
      </c>
      <c r="C26" s="64" t="s">
        <v>127</v>
      </c>
      <c r="D26" s="64"/>
      <c r="E26" s="64"/>
      <c r="F26" s="64"/>
      <c r="G26" s="64"/>
      <c r="H26" s="64"/>
    </row>
  </sheetData>
  <mergeCells count="19">
    <mergeCell ref="B1:E1"/>
    <mergeCell ref="F1:I1"/>
    <mergeCell ref="B2:E2"/>
    <mergeCell ref="F2:I2"/>
    <mergeCell ref="B3:E3"/>
    <mergeCell ref="F3:I3"/>
    <mergeCell ref="B10:E10"/>
    <mergeCell ref="F10:I10"/>
    <mergeCell ref="B16:E16"/>
    <mergeCell ref="F16:I16"/>
    <mergeCell ref="B22:E22"/>
    <mergeCell ref="C23:E23"/>
    <mergeCell ref="F23:H23"/>
    <mergeCell ref="C24:E24"/>
    <mergeCell ref="F24:H24"/>
    <mergeCell ref="C25:E25"/>
    <mergeCell ref="F25:H25"/>
    <mergeCell ref="C26:E26"/>
    <mergeCell ref="F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32"/>
  <sheetViews>
    <sheetView showFormulas="false" showGridLines="false" showRowColHeaders="true" showZeros="true" rightToLeft="false" tabSelected="true" showOutlineSymbols="true" defaultGridColor="true" view="normal" topLeftCell="A7" colorId="64" zoomScale="110" zoomScaleNormal="110" zoomScalePageLayoutView="100" workbookViewId="0">
      <selection pane="topLeft" activeCell="E29" activeCellId="0" sqref="E29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3"/>
  </cols>
  <sheetData>
    <row r="1" customFormat="false" ht="19.7" hidden="false" customHeight="false" outlineLevel="0" collapsed="false">
      <c r="C1" s="2" t="s">
        <v>128</v>
      </c>
      <c r="D1" s="2"/>
      <c r="E1" s="2"/>
    </row>
    <row r="2" customFormat="false" ht="15" hidden="false" customHeight="false" outlineLevel="0" collapsed="false">
      <c r="C2" s="3" t="s">
        <v>129</v>
      </c>
      <c r="D2" s="3"/>
      <c r="E2" s="3"/>
    </row>
    <row r="3" customFormat="false" ht="15" hidden="false" customHeight="false" outlineLevel="0" collapsed="false">
      <c r="C3" s="65" t="s">
        <v>130</v>
      </c>
      <c r="D3" s="65"/>
      <c r="E3" s="65"/>
    </row>
    <row r="4" customFormat="false" ht="15" hidden="false" customHeight="false" outlineLevel="0" collapsed="false">
      <c r="C4" s="58" t="s">
        <v>131</v>
      </c>
      <c r="D4" s="58"/>
      <c r="E4" s="58"/>
    </row>
    <row r="5" customFormat="false" ht="15" hidden="false" customHeight="false" outlineLevel="0" collapsed="false">
      <c r="C5" s="58" t="s">
        <v>132</v>
      </c>
      <c r="D5" s="58"/>
      <c r="E5" s="58"/>
    </row>
    <row r="6" customFormat="false" ht="15" hidden="false" customHeight="false" outlineLevel="0" collapsed="false">
      <c r="C6" s="58" t="s">
        <v>133</v>
      </c>
      <c r="D6" s="58"/>
      <c r="E6" s="58"/>
    </row>
    <row r="8" customFormat="false" ht="15" hidden="false" customHeight="false" outlineLevel="0" collapsed="false">
      <c r="C8" s="66" t="s">
        <v>134</v>
      </c>
      <c r="D8" s="66"/>
      <c r="E8" s="66"/>
    </row>
    <row r="9" customFormat="false" ht="15" hidden="false" customHeight="false" outlineLevel="0" collapsed="false">
      <c r="C9" s="64" t="s">
        <v>135</v>
      </c>
      <c r="D9" s="64"/>
      <c r="E9" s="64"/>
    </row>
    <row r="10" customFormat="false" ht="15" hidden="false" customHeight="false" outlineLevel="0" collapsed="false">
      <c r="C10" s="64" t="s">
        <v>136</v>
      </c>
      <c r="D10" s="64"/>
      <c r="E10" s="64"/>
    </row>
    <row r="11" customFormat="false" ht="15" hidden="false" customHeight="false" outlineLevel="0" collapsed="false">
      <c r="C11" s="64" t="s">
        <v>133</v>
      </c>
      <c r="D11" s="64"/>
      <c r="E11" s="64"/>
    </row>
    <row r="13" customFormat="false" ht="15" hidden="false" customHeight="false" outlineLevel="0" collapsed="false">
      <c r="C13" s="67" t="s">
        <v>137</v>
      </c>
      <c r="D13" s="67"/>
      <c r="E13" s="67"/>
    </row>
    <row r="14" customFormat="false" ht="15" hidden="false" customHeight="false" outlineLevel="0" collapsed="false">
      <c r="C14" s="60" t="s">
        <v>138</v>
      </c>
      <c r="D14" s="60"/>
      <c r="E14" s="60"/>
    </row>
    <row r="15" customFormat="false" ht="15" hidden="false" customHeight="false" outlineLevel="0" collapsed="false">
      <c r="C15" s="60" t="s">
        <v>139</v>
      </c>
      <c r="D15" s="60"/>
      <c r="E15" s="60"/>
    </row>
    <row r="16" customFormat="false" ht="15" hidden="false" customHeight="false" outlineLevel="0" collapsed="false">
      <c r="C16" s="60" t="s">
        <v>133</v>
      </c>
      <c r="D16" s="60"/>
      <c r="E16" s="60"/>
    </row>
    <row r="18" customFormat="false" ht="15" hidden="false" customHeight="false" outlineLevel="0" collapsed="false">
      <c r="C18" s="68" t="s">
        <v>140</v>
      </c>
      <c r="D18" s="68"/>
      <c r="E18" s="68"/>
    </row>
    <row r="19" customFormat="false" ht="15" hidden="false" customHeight="false" outlineLevel="0" collapsed="false">
      <c r="C19" s="69" t="s">
        <v>141</v>
      </c>
      <c r="D19" s="70" t="s">
        <v>26</v>
      </c>
      <c r="E19" s="71" t="s">
        <v>142</v>
      </c>
    </row>
    <row r="20" customFormat="false" ht="19.5" hidden="false" customHeight="true" outlineLevel="0" collapsed="false">
      <c r="C20" s="72" t="s">
        <v>143</v>
      </c>
      <c r="D20" s="73" t="s">
        <v>144</v>
      </c>
      <c r="E20" s="74" t="s">
        <v>145</v>
      </c>
    </row>
    <row r="21" customFormat="false" ht="19.5" hidden="false" customHeight="true" outlineLevel="0" collapsed="false">
      <c r="C21" s="75" t="s">
        <v>146</v>
      </c>
      <c r="D21" s="76" t="s">
        <v>147</v>
      </c>
      <c r="E21" s="77" t="s">
        <v>145</v>
      </c>
    </row>
    <row r="22" customFormat="false" ht="19.5" hidden="false" customHeight="true" outlineLevel="0" collapsed="false">
      <c r="C22" s="72" t="s">
        <v>148</v>
      </c>
      <c r="D22" s="73" t="s">
        <v>149</v>
      </c>
      <c r="E22" s="74" t="s">
        <v>150</v>
      </c>
    </row>
    <row r="23" customFormat="false" ht="19.5" hidden="false" customHeight="true" outlineLevel="0" collapsed="false">
      <c r="C23" s="75" t="s">
        <v>151</v>
      </c>
      <c r="D23" s="76" t="s">
        <v>144</v>
      </c>
      <c r="E23" s="77" t="s">
        <v>150</v>
      </c>
    </row>
    <row r="24" customFormat="false" ht="19.5" hidden="false" customHeight="true" outlineLevel="0" collapsed="false">
      <c r="C24" s="75" t="s">
        <v>152</v>
      </c>
      <c r="D24" s="76" t="s">
        <v>153</v>
      </c>
      <c r="E24" s="77" t="s">
        <v>154</v>
      </c>
    </row>
    <row r="25" customFormat="false" ht="19.5" hidden="false" customHeight="true" outlineLevel="0" collapsed="false">
      <c r="C25" s="75" t="s">
        <v>155</v>
      </c>
      <c r="D25" s="76" t="s">
        <v>147</v>
      </c>
      <c r="E25" s="77" t="s">
        <v>154</v>
      </c>
    </row>
    <row r="26" customFormat="false" ht="19.5" hidden="false" customHeight="true" outlineLevel="0" collapsed="false">
      <c r="C26" s="75" t="s">
        <v>156</v>
      </c>
      <c r="D26" s="76" t="s">
        <v>147</v>
      </c>
      <c r="E26" s="77" t="s">
        <v>157</v>
      </c>
    </row>
    <row r="27" customFormat="false" ht="19.5" hidden="false" customHeight="true" outlineLevel="0" collapsed="false">
      <c r="C27" s="75" t="s">
        <v>158</v>
      </c>
      <c r="D27" s="76" t="s">
        <v>159</v>
      </c>
      <c r="E27" s="77" t="s">
        <v>157</v>
      </c>
    </row>
    <row r="28" customFormat="false" ht="19.5" hidden="false" customHeight="true" outlineLevel="0" collapsed="false">
      <c r="C28" s="75" t="s">
        <v>160</v>
      </c>
      <c r="D28" s="76" t="s">
        <v>144</v>
      </c>
      <c r="E28" s="77" t="s">
        <v>161</v>
      </c>
    </row>
    <row r="29" customFormat="false" ht="19.5" hidden="false" customHeight="true" outlineLevel="0" collapsed="false">
      <c r="C29" s="75" t="s">
        <v>162</v>
      </c>
      <c r="D29" s="76" t="s">
        <v>144</v>
      </c>
      <c r="E29" s="77" t="s">
        <v>163</v>
      </c>
    </row>
    <row r="30" customFormat="false" ht="19.5" hidden="false" customHeight="true" outlineLevel="0" collapsed="false">
      <c r="C30" s="75" t="s">
        <v>164</v>
      </c>
      <c r="D30" s="76" t="s">
        <v>165</v>
      </c>
      <c r="E30" s="77" t="s">
        <v>166</v>
      </c>
    </row>
    <row r="31" customFormat="false" ht="19.5" hidden="false" customHeight="true" outlineLevel="0" collapsed="false">
      <c r="C31" s="75" t="s">
        <v>167</v>
      </c>
      <c r="D31" s="76" t="s">
        <v>168</v>
      </c>
      <c r="E31" s="77" t="s">
        <v>169</v>
      </c>
    </row>
    <row r="32" customFormat="false" ht="19.5" hidden="false" customHeight="true" outlineLevel="0" collapsed="false">
      <c r="C32" s="75" t="s">
        <v>170</v>
      </c>
      <c r="D32" s="73" t="s">
        <v>144</v>
      </c>
      <c r="E32" s="77" t="s">
        <v>171</v>
      </c>
    </row>
  </sheetData>
  <mergeCells count="15">
    <mergeCell ref="C1:E1"/>
    <mergeCell ref="C2:E2"/>
    <mergeCell ref="C3:E3"/>
    <mergeCell ref="C4:E4"/>
    <mergeCell ref="C5:E5"/>
    <mergeCell ref="C6:E6"/>
    <mergeCell ref="C8:E8"/>
    <mergeCell ref="C9:E9"/>
    <mergeCell ref="C10:E10"/>
    <mergeCell ref="C11:E11"/>
    <mergeCell ref="C13:E13"/>
    <mergeCell ref="C14:E14"/>
    <mergeCell ref="C15:E15"/>
    <mergeCell ref="C16:E16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2026-08-12T00:44:11Z</dcterms:created>
  <dc:creator>openpyxl</dc:creator>
  <dc:description/>
  <dc:language>en-US</dc:language>
  <cp:lastModifiedBy/>
  <dcterms:modified xsi:type="dcterms:W3CDTF">2026-10-07T23:26:38Z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